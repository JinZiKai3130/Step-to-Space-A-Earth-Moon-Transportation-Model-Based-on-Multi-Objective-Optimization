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JTU\竞赛&amp;学生组织\美赛\正式比赛\2026_MCM-ICM_Problems\B题\参考文献\"/>
    </mc:Choice>
  </mc:AlternateContent>
  <xr:revisionPtr revIDLastSave="0" documentId="13_ncr:1_{CEB9951C-EC45-4EC0-ADCE-1B50951226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</calcChain>
</file>

<file path=xl/sharedStrings.xml><?xml version="1.0" encoding="utf-8"?>
<sst xmlns="http://schemas.openxmlformats.org/spreadsheetml/2006/main" count="16" uniqueCount="15">
  <si>
    <t>美国阿拉斯加</t>
    <phoneticPr fontId="1" type="noConversion"/>
  </si>
  <si>
    <t>美国加利福尼亚</t>
    <phoneticPr fontId="1" type="noConversion"/>
  </si>
  <si>
    <t>美国德克萨斯</t>
    <phoneticPr fontId="1" type="noConversion"/>
  </si>
  <si>
    <t>美国佛罗里达</t>
    <phoneticPr fontId="1" type="noConversion"/>
  </si>
  <si>
    <t>美国弗吉尼亚州</t>
    <phoneticPr fontId="1" type="noConversion"/>
  </si>
  <si>
    <t>哈萨克斯坦</t>
    <phoneticPr fontId="1" type="noConversion"/>
  </si>
  <si>
    <t>法属圭亚那</t>
    <phoneticPr fontId="1" type="noConversion"/>
  </si>
  <si>
    <t>中国太原卫星发射中心</t>
    <phoneticPr fontId="1" type="noConversion"/>
  </si>
  <si>
    <t>印度萨蒂什·达万航天中心</t>
    <phoneticPr fontId="1" type="noConversion"/>
  </si>
  <si>
    <t>新西兰马希亚半岛</t>
    <phoneticPr fontId="1" type="noConversion"/>
  </si>
  <si>
    <t>总和</t>
    <phoneticPr fontId="1" type="noConversion"/>
  </si>
  <si>
    <t>与上一年差值</t>
    <phoneticPr fontId="1" type="noConversion"/>
  </si>
  <si>
    <t>N/A</t>
    <phoneticPr fontId="1" type="noConversion"/>
  </si>
  <si>
    <t>增长率</t>
    <phoneticPr fontId="1" type="noConversion"/>
  </si>
  <si>
    <t>-1.75%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</si>
</sst>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4" workbookViewId="0">
      <selection activeCell="N16" sqref="N16"/>
    </sheetView>
  </sheetViews>
  <sheetFormatPr defaultRowHeight="14" x14ac:dyDescent="0.3"/>
  <cols>
    <col min="1" max="1" width="16.4140625" customWidth="1"/>
    <col min="10" max="10" width="8.6640625" customWidth="1"/>
    <col min="11" max="11" width="15.08203125" customWidth="1"/>
    <col min="12" max="12" width="11.4140625" customWidth="1"/>
  </cols>
  <sheetData>
    <row r="1" spans="1:14" s="1" customFormat="1" ht="48.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8</v>
      </c>
      <c r="J1" s="2" t="s">
        <v>7</v>
      </c>
      <c r="K1" s="2" t="s">
        <v>9</v>
      </c>
      <c r="L1" s="1" t="s">
        <v>10</v>
      </c>
      <c r="M1" s="1" t="s">
        <v>11</v>
      </c>
      <c r="N1" s="1" t="s">
        <v>13</v>
      </c>
    </row>
    <row r="2" spans="1:14" x14ac:dyDescent="0.3">
      <c r="A2" s="2">
        <v>2004</v>
      </c>
      <c r="B2" s="2">
        <v>0</v>
      </c>
      <c r="C2" s="2">
        <v>3</v>
      </c>
      <c r="D2" s="2">
        <v>0</v>
      </c>
      <c r="E2" s="2">
        <v>10</v>
      </c>
      <c r="F2" s="2">
        <v>1</v>
      </c>
      <c r="G2" s="2">
        <v>17</v>
      </c>
      <c r="H2" s="2">
        <v>3</v>
      </c>
      <c r="I2" s="2">
        <v>1</v>
      </c>
      <c r="J2" s="2">
        <v>4</v>
      </c>
      <c r="K2" s="2">
        <v>0</v>
      </c>
      <c r="L2">
        <f>SUM(B2:K2)</f>
        <v>39</v>
      </c>
      <c r="M2" t="s">
        <v>12</v>
      </c>
      <c r="N2" t="s">
        <v>12</v>
      </c>
    </row>
    <row r="3" spans="1:14" x14ac:dyDescent="0.3">
      <c r="A3" s="2">
        <v>2005</v>
      </c>
      <c r="B3" s="2">
        <v>1</v>
      </c>
      <c r="C3" s="2">
        <v>3</v>
      </c>
      <c r="D3" s="2">
        <v>0</v>
      </c>
      <c r="E3" s="2">
        <v>12</v>
      </c>
      <c r="F3" s="2">
        <v>1</v>
      </c>
      <c r="G3" s="2">
        <v>18</v>
      </c>
      <c r="H3" s="2">
        <v>5</v>
      </c>
      <c r="I3" s="2">
        <v>1</v>
      </c>
      <c r="J3" s="2">
        <v>2</v>
      </c>
      <c r="K3" s="2">
        <v>0</v>
      </c>
      <c r="L3">
        <f>SUM(B3:K3)</f>
        <v>43</v>
      </c>
      <c r="M3" s="2">
        <v>4</v>
      </c>
      <c r="N3" s="3">
        <v>0.10249999999999999</v>
      </c>
    </row>
    <row r="4" spans="1:14" x14ac:dyDescent="0.3">
      <c r="A4" s="2">
        <v>2006</v>
      </c>
      <c r="B4" s="2">
        <v>0</v>
      </c>
      <c r="C4" s="2">
        <v>3</v>
      </c>
      <c r="D4" s="2">
        <v>0</v>
      </c>
      <c r="E4" s="2">
        <v>14</v>
      </c>
      <c r="F4" s="2">
        <v>1</v>
      </c>
      <c r="G4" s="2">
        <v>18</v>
      </c>
      <c r="H4" s="2">
        <v>4</v>
      </c>
      <c r="I4" s="2">
        <v>1</v>
      </c>
      <c r="J4" s="2">
        <v>3</v>
      </c>
      <c r="K4" s="2">
        <v>0</v>
      </c>
      <c r="L4">
        <f>SUM(B4:K4)</f>
        <v>44</v>
      </c>
      <c r="M4" s="2">
        <v>1</v>
      </c>
      <c r="N4" s="3">
        <v>2.3E-2</v>
      </c>
    </row>
    <row r="5" spans="1:14" x14ac:dyDescent="0.3">
      <c r="A5" s="2">
        <v>2007</v>
      </c>
      <c r="B5" s="2">
        <v>1</v>
      </c>
      <c r="C5" s="2">
        <v>3</v>
      </c>
      <c r="D5" s="2">
        <v>0</v>
      </c>
      <c r="E5" s="2">
        <v>15</v>
      </c>
      <c r="F5" s="2">
        <v>1</v>
      </c>
      <c r="G5" s="2">
        <v>24</v>
      </c>
      <c r="H5" s="2">
        <v>6</v>
      </c>
      <c r="I5" s="2">
        <v>2</v>
      </c>
      <c r="J5" s="2">
        <v>3</v>
      </c>
      <c r="K5" s="2">
        <v>0</v>
      </c>
      <c r="L5">
        <f>SUM(B5:K5)</f>
        <v>55</v>
      </c>
      <c r="M5" s="2">
        <v>11</v>
      </c>
      <c r="N5" s="4">
        <v>0.25</v>
      </c>
    </row>
    <row r="6" spans="1:14" x14ac:dyDescent="0.3">
      <c r="A6" s="2">
        <v>2008</v>
      </c>
      <c r="B6" s="2">
        <v>0</v>
      </c>
      <c r="C6" s="2">
        <v>3</v>
      </c>
      <c r="D6" s="2">
        <v>0</v>
      </c>
      <c r="E6" s="2">
        <v>14</v>
      </c>
      <c r="F6" s="2">
        <v>1</v>
      </c>
      <c r="G6" s="2">
        <v>24</v>
      </c>
      <c r="H6" s="2">
        <v>6</v>
      </c>
      <c r="I6" s="2">
        <v>3</v>
      </c>
      <c r="J6" s="2">
        <v>3</v>
      </c>
      <c r="K6" s="2">
        <v>0</v>
      </c>
      <c r="L6">
        <f>SUM(B6:K6)</f>
        <v>54</v>
      </c>
      <c r="M6" s="2">
        <v>-1</v>
      </c>
      <c r="N6" s="3">
        <v>-1.8200000000000001E-2</v>
      </c>
    </row>
    <row r="7" spans="1:14" x14ac:dyDescent="0.3">
      <c r="A7" s="2">
        <v>2009</v>
      </c>
      <c r="B7" s="2">
        <v>1</v>
      </c>
      <c r="C7" s="2">
        <v>3</v>
      </c>
      <c r="D7" s="2">
        <v>0</v>
      </c>
      <c r="E7" s="2">
        <v>19</v>
      </c>
      <c r="F7" s="2">
        <v>1</v>
      </c>
      <c r="G7" s="2">
        <v>22</v>
      </c>
      <c r="H7" s="2">
        <v>7</v>
      </c>
      <c r="I7" s="2">
        <v>2</v>
      </c>
      <c r="J7" s="2">
        <v>2</v>
      </c>
      <c r="K7" s="2">
        <v>0</v>
      </c>
      <c r="L7">
        <f>SUM(B7:K7)</f>
        <v>57</v>
      </c>
      <c r="M7" s="2">
        <v>3</v>
      </c>
      <c r="N7" s="3">
        <v>5.5599999999999997E-2</v>
      </c>
    </row>
    <row r="8" spans="1:14" x14ac:dyDescent="0.3">
      <c r="A8" s="2">
        <v>2010</v>
      </c>
      <c r="B8" s="2">
        <v>0</v>
      </c>
      <c r="C8" s="2">
        <v>2</v>
      </c>
      <c r="D8" s="2">
        <v>0</v>
      </c>
      <c r="E8" s="2">
        <v>16</v>
      </c>
      <c r="F8" s="2">
        <v>1</v>
      </c>
      <c r="G8" s="2">
        <v>22</v>
      </c>
      <c r="H8" s="2">
        <v>6</v>
      </c>
      <c r="I8" s="2">
        <v>3</v>
      </c>
      <c r="J8" s="2">
        <v>6</v>
      </c>
      <c r="K8" s="2">
        <v>0</v>
      </c>
      <c r="L8">
        <f>SUM(B8:K8)</f>
        <v>56</v>
      </c>
      <c r="M8" s="2">
        <v>-1</v>
      </c>
      <c r="N8" s="5" t="s">
        <v>14</v>
      </c>
    </row>
    <row r="9" spans="1:14" x14ac:dyDescent="0.3">
      <c r="A9" s="2">
        <v>2011</v>
      </c>
      <c r="B9" s="2">
        <v>0</v>
      </c>
      <c r="C9" s="2">
        <v>4</v>
      </c>
      <c r="D9" s="2">
        <v>0</v>
      </c>
      <c r="E9" s="2">
        <v>13</v>
      </c>
      <c r="F9" s="2">
        <v>2</v>
      </c>
      <c r="G9" s="2">
        <v>26</v>
      </c>
      <c r="H9" s="2">
        <v>6</v>
      </c>
      <c r="I9" s="2">
        <v>3</v>
      </c>
      <c r="J9" s="2">
        <v>5</v>
      </c>
      <c r="K9" s="2">
        <v>0</v>
      </c>
      <c r="L9">
        <f>SUM(B9:K9)</f>
        <v>59</v>
      </c>
      <c r="M9" s="2">
        <v>3</v>
      </c>
      <c r="N9" s="3">
        <v>5.3600000000000002E-2</v>
      </c>
    </row>
    <row r="10" spans="1:14" x14ac:dyDescent="0.3">
      <c r="A10" s="2">
        <v>2012</v>
      </c>
      <c r="B10" s="2">
        <v>0</v>
      </c>
      <c r="C10" s="2">
        <v>4</v>
      </c>
      <c r="D10" s="2">
        <v>0</v>
      </c>
      <c r="E10" s="2">
        <v>12</v>
      </c>
      <c r="F10" s="2">
        <v>2</v>
      </c>
      <c r="G10" s="2">
        <v>19</v>
      </c>
      <c r="H10" s="2">
        <v>7</v>
      </c>
      <c r="I10" s="2">
        <v>2</v>
      </c>
      <c r="J10" s="2">
        <v>8</v>
      </c>
      <c r="K10" s="2">
        <v>0</v>
      </c>
      <c r="L10">
        <f>SUM(B10:K10)</f>
        <v>54</v>
      </c>
      <c r="M10" s="2">
        <v>-5</v>
      </c>
      <c r="N10" s="3">
        <v>-8.4699999999999998E-2</v>
      </c>
    </row>
    <row r="11" spans="1:14" x14ac:dyDescent="0.3">
      <c r="A11" s="2">
        <v>2013</v>
      </c>
      <c r="B11" s="2">
        <v>2</v>
      </c>
      <c r="C11" s="2">
        <v>4</v>
      </c>
      <c r="D11" s="2">
        <v>1</v>
      </c>
      <c r="E11" s="2">
        <v>13</v>
      </c>
      <c r="F11" s="2">
        <v>3</v>
      </c>
      <c r="G11" s="2">
        <v>23</v>
      </c>
      <c r="H11" s="2">
        <v>7</v>
      </c>
      <c r="I11" s="2">
        <v>3</v>
      </c>
      <c r="J11" s="2">
        <v>3</v>
      </c>
      <c r="K11" s="2">
        <v>0</v>
      </c>
      <c r="L11">
        <f>SUM(B11:K11)</f>
        <v>59</v>
      </c>
      <c r="M11" s="2">
        <v>5</v>
      </c>
      <c r="N11" s="3">
        <v>8.4699999999999998E-2</v>
      </c>
    </row>
    <row r="12" spans="1:14" x14ac:dyDescent="0.3">
      <c r="A12" s="2">
        <v>2014</v>
      </c>
      <c r="B12" s="2">
        <v>1</v>
      </c>
      <c r="C12" s="2">
        <v>6</v>
      </c>
      <c r="D12" s="2">
        <v>1</v>
      </c>
      <c r="E12" s="2">
        <v>17</v>
      </c>
      <c r="F12" s="2">
        <v>3</v>
      </c>
      <c r="G12" s="2">
        <v>20</v>
      </c>
      <c r="H12" s="2">
        <v>11</v>
      </c>
      <c r="I12" s="2">
        <v>4</v>
      </c>
      <c r="J12" s="2">
        <v>7</v>
      </c>
      <c r="K12" s="2">
        <v>0</v>
      </c>
      <c r="L12">
        <f>SUM(B12:K12)</f>
        <v>70</v>
      </c>
      <c r="M12" s="2">
        <v>11</v>
      </c>
      <c r="N12" s="3">
        <v>0.18640000000000001</v>
      </c>
    </row>
    <row r="13" spans="1:14" x14ac:dyDescent="0.3">
      <c r="A13" s="2">
        <v>2015</v>
      </c>
      <c r="B13" s="2">
        <v>1</v>
      </c>
      <c r="C13" s="2">
        <v>8</v>
      </c>
      <c r="D13" s="2">
        <v>0</v>
      </c>
      <c r="E13" s="2">
        <v>17</v>
      </c>
      <c r="F13" s="2">
        <v>1</v>
      </c>
      <c r="G13" s="2">
        <v>16</v>
      </c>
      <c r="H13" s="2">
        <v>12</v>
      </c>
      <c r="I13" s="2">
        <v>5</v>
      </c>
      <c r="J13" s="2">
        <v>8</v>
      </c>
      <c r="K13" s="2">
        <v>0</v>
      </c>
      <c r="L13">
        <f>SUM(B13:K13)</f>
        <v>68</v>
      </c>
      <c r="M13" s="2">
        <v>-2</v>
      </c>
      <c r="N13" s="3">
        <v>-2.86E-2</v>
      </c>
    </row>
    <row r="14" spans="1:14" x14ac:dyDescent="0.3">
      <c r="A14" s="2">
        <v>2016</v>
      </c>
      <c r="B14" s="2">
        <v>0</v>
      </c>
      <c r="C14" s="2">
        <v>6</v>
      </c>
      <c r="D14" s="2">
        <v>0</v>
      </c>
      <c r="E14" s="2">
        <v>19</v>
      </c>
      <c r="F14" s="2">
        <v>1</v>
      </c>
      <c r="G14" s="2">
        <v>16</v>
      </c>
      <c r="H14" s="2">
        <v>9</v>
      </c>
      <c r="I14" s="2">
        <v>7</v>
      </c>
      <c r="J14" s="2">
        <v>6</v>
      </c>
      <c r="K14" s="2">
        <v>0</v>
      </c>
      <c r="L14">
        <f>SUM(B14:K14)</f>
        <v>64</v>
      </c>
      <c r="M14" s="2">
        <v>-6</v>
      </c>
      <c r="N14" s="3">
        <v>-8.8200000000000001E-2</v>
      </c>
    </row>
    <row r="15" spans="1:14" x14ac:dyDescent="0.3">
      <c r="A15" s="2">
        <v>2017</v>
      </c>
      <c r="B15" s="2">
        <v>1</v>
      </c>
      <c r="C15" s="2">
        <v>8</v>
      </c>
      <c r="D15" s="2">
        <v>2</v>
      </c>
      <c r="E15" s="2">
        <v>18</v>
      </c>
      <c r="F15" s="2">
        <v>1</v>
      </c>
      <c r="G15" s="2">
        <v>16</v>
      </c>
      <c r="H15" s="2">
        <v>9</v>
      </c>
      <c r="I15" s="2">
        <v>5</v>
      </c>
      <c r="J15" s="2">
        <v>4</v>
      </c>
      <c r="K15" s="2">
        <v>1</v>
      </c>
      <c r="L15">
        <f>SUM(B15:K15)</f>
        <v>65</v>
      </c>
      <c r="M15" s="2">
        <v>-5</v>
      </c>
      <c r="N15" s="3">
        <v>-7.8100000000000003E-2</v>
      </c>
    </row>
    <row r="16" spans="1:14" x14ac:dyDescent="0.3">
      <c r="A16" s="2">
        <v>2018</v>
      </c>
      <c r="B16" s="2">
        <v>1</v>
      </c>
      <c r="C16" s="2">
        <v>10</v>
      </c>
      <c r="D16" s="2">
        <v>10</v>
      </c>
      <c r="E16" s="2">
        <v>20</v>
      </c>
      <c r="F16" s="2">
        <v>1</v>
      </c>
      <c r="G16" s="2">
        <v>13</v>
      </c>
      <c r="H16" s="2">
        <v>11</v>
      </c>
      <c r="I16" s="2">
        <v>7</v>
      </c>
      <c r="J16" s="2">
        <v>10</v>
      </c>
      <c r="K16" s="2">
        <v>3</v>
      </c>
      <c r="L16">
        <f>SUM(B16:K16)</f>
        <v>86</v>
      </c>
      <c r="M16" s="2">
        <v>21</v>
      </c>
      <c r="N16" s="3">
        <v>0.3231</v>
      </c>
    </row>
    <row r="17" spans="1:14" x14ac:dyDescent="0.3">
      <c r="A17" s="2">
        <v>2019</v>
      </c>
      <c r="B17" s="2">
        <v>0</v>
      </c>
      <c r="C17" s="2">
        <v>8</v>
      </c>
      <c r="D17" s="2">
        <v>11</v>
      </c>
      <c r="E17" s="2">
        <v>16</v>
      </c>
      <c r="F17" s="2">
        <v>2</v>
      </c>
      <c r="G17" s="2">
        <v>16</v>
      </c>
      <c r="H17" s="2">
        <v>8</v>
      </c>
      <c r="I17" s="2">
        <v>6</v>
      </c>
      <c r="J17" s="2">
        <v>13</v>
      </c>
      <c r="K17" s="2">
        <v>6</v>
      </c>
      <c r="L17">
        <f>SUM(B17:K17)</f>
        <v>86</v>
      </c>
      <c r="M17" s="2">
        <v>0</v>
      </c>
      <c r="N17" s="4">
        <v>0</v>
      </c>
    </row>
    <row r="18" spans="1:14" x14ac:dyDescent="0.3">
      <c r="A18" s="2">
        <v>2020</v>
      </c>
      <c r="B18" s="2">
        <v>2</v>
      </c>
      <c r="C18" s="2">
        <v>6</v>
      </c>
      <c r="D18" s="2">
        <v>18</v>
      </c>
      <c r="E18" s="2">
        <v>30</v>
      </c>
      <c r="F18" s="2">
        <v>2</v>
      </c>
      <c r="G18" s="2">
        <v>13</v>
      </c>
      <c r="H18" s="2">
        <v>5</v>
      </c>
      <c r="I18" s="2">
        <v>2</v>
      </c>
      <c r="J18" s="2">
        <v>14</v>
      </c>
      <c r="K18" s="2">
        <v>7</v>
      </c>
      <c r="L18">
        <f>SUM(B18:K18)</f>
        <v>99</v>
      </c>
      <c r="M18" s="2">
        <v>13</v>
      </c>
      <c r="N18" s="3">
        <v>0.1512</v>
      </c>
    </row>
    <row r="19" spans="1:14" x14ac:dyDescent="0.3">
      <c r="A19" s="2">
        <v>2021</v>
      </c>
      <c r="B19" s="2">
        <v>3</v>
      </c>
      <c r="C19" s="2">
        <v>10</v>
      </c>
      <c r="D19" s="2">
        <v>22</v>
      </c>
      <c r="E19" s="2">
        <v>31</v>
      </c>
      <c r="F19" s="2">
        <v>5</v>
      </c>
      <c r="G19" s="2">
        <v>13</v>
      </c>
      <c r="H19" s="2">
        <v>7</v>
      </c>
      <c r="I19" s="2">
        <v>2</v>
      </c>
      <c r="J19" s="2">
        <v>16</v>
      </c>
      <c r="K19" s="2">
        <v>6</v>
      </c>
      <c r="L19">
        <f>SUM(B19:K19)</f>
        <v>115</v>
      </c>
      <c r="M19" s="2">
        <v>16</v>
      </c>
      <c r="N19" s="3">
        <v>0.16159999999999999</v>
      </c>
    </row>
    <row r="20" spans="1:14" x14ac:dyDescent="0.3">
      <c r="A20" s="2">
        <v>2022</v>
      </c>
      <c r="B20" s="2">
        <v>1</v>
      </c>
      <c r="C20" s="2">
        <v>19</v>
      </c>
      <c r="D20" s="2">
        <v>23</v>
      </c>
      <c r="E20" s="2">
        <v>57</v>
      </c>
      <c r="F20" s="2">
        <v>1</v>
      </c>
      <c r="G20" s="2">
        <v>13</v>
      </c>
      <c r="H20" s="2">
        <v>5</v>
      </c>
      <c r="I20" s="2">
        <v>5</v>
      </c>
      <c r="J20" s="2">
        <v>16</v>
      </c>
      <c r="K20" s="2">
        <v>9</v>
      </c>
      <c r="L20">
        <f>SUM(B20:K20)</f>
        <v>149</v>
      </c>
      <c r="M20" s="2">
        <v>34</v>
      </c>
      <c r="N20" s="3">
        <v>0.29570000000000002</v>
      </c>
    </row>
    <row r="21" spans="1:14" x14ac:dyDescent="0.3">
      <c r="A21" s="2">
        <v>2023</v>
      </c>
      <c r="B21" s="2">
        <v>3</v>
      </c>
      <c r="C21" s="2">
        <v>24</v>
      </c>
      <c r="D21" s="2">
        <v>21</v>
      </c>
      <c r="E21" s="2">
        <v>70</v>
      </c>
      <c r="F21" s="2">
        <v>3</v>
      </c>
      <c r="G21" s="2">
        <v>11</v>
      </c>
      <c r="H21" s="2">
        <v>3</v>
      </c>
      <c r="I21" s="2">
        <v>7</v>
      </c>
      <c r="J21" s="2">
        <v>17</v>
      </c>
      <c r="K21" s="2">
        <v>10</v>
      </c>
      <c r="L21">
        <f>SUM(B21,B21:K21)</f>
        <v>172</v>
      </c>
      <c r="M21" s="2">
        <v>23</v>
      </c>
      <c r="N21" s="3">
        <v>0.15429999999999999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2026-01-30T09:36:15Z</dcterms:modified>
</cp:coreProperties>
</file>